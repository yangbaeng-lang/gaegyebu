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khynix-my.sharepoint.com/personal/2040769_skhynix_com/Documents/AI 작업폴더/가계부 홈페이지 제작/"/>
    </mc:Choice>
  </mc:AlternateContent>
  <xr:revisionPtr revIDLastSave="0" documentId="11_4305D67E567CE40EE21EC0F44B5DCE3AD74CB9CA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2026년 소득세 계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1" i="1"/>
  <c r="A19" i="1"/>
</calcChain>
</file>

<file path=xl/sharedStrings.xml><?xml version="1.0" encoding="utf-8"?>
<sst xmlns="http://schemas.openxmlformats.org/spreadsheetml/2006/main" count="85" uniqueCount="71">
  <si>
    <t>2026년 소득세 계산서 (연간 추정)</t>
  </si>
  <si>
    <t>※ PS·PI는 연중 1회 기수령 금액 적용 | 월별 수당은 5개월 실적 × 2.4배 연환산 | 기준일: 2026-05-21</t>
  </si>
  <si>
    <t>① 연간 총급여 추정</t>
  </si>
  <si>
    <t>구 분</t>
  </si>
  <si>
    <t>병훈 (원)</t>
  </si>
  <si>
    <t>아름 (원)</t>
  </si>
  <si>
    <t>비 고</t>
  </si>
  <si>
    <t>PS (성과급, 기수령)</t>
  </si>
  <si>
    <t>연중 1회 지급</t>
  </si>
  <si>
    <t>PI</t>
  </si>
  <si>
    <t>기본급 (연환산)</t>
  </si>
  <si>
    <t>×2.4</t>
  </si>
  <si>
    <t>고정시간외+교대+야간 수당</t>
  </si>
  <si>
    <t>평일연장+휴일근무 수당</t>
  </si>
  <si>
    <t>명절격려금 (2회)</t>
  </si>
  <si>
    <t>설·추석</t>
  </si>
  <si>
    <t>기타 수당 (연환산)</t>
  </si>
  <si>
    <t>연간 총급여 합계</t>
  </si>
  <si>
    <t>② 소득세 계산 과정</t>
  </si>
  <si>
    <t>총급여</t>
  </si>
  <si>
    <t>(-) 근로소득공제</t>
  </si>
  <si>
    <t>1억 초과: 1,475만+초과×2%</t>
  </si>
  <si>
    <t>(-) 인적공제</t>
  </si>
  <si>
    <t>병훈:본인1명 | 아름:5명+장애인</t>
  </si>
  <si>
    <t>35% 구간 해당 (8,800만~1.5억)</t>
  </si>
  <si>
    <t>산출세액 (×35%-1,544만)</t>
  </si>
  <si>
    <t>(-) 근로소득세액공제</t>
  </si>
  <si>
    <t>총급여 7,000만 초과 → 최대 50만</t>
  </si>
  <si>
    <t>지방소득세 (×10%)</t>
  </si>
  <si>
    <t>③ 전체 공제 항목 요약</t>
  </si>
  <si>
    <t>소득세</t>
  </si>
  <si>
    <t>결정세액</t>
  </si>
  <si>
    <t>지방소득세</t>
  </si>
  <si>
    <t>소득세×10%</t>
  </si>
  <si>
    <t>국민연금</t>
  </si>
  <si>
    <t>상한: 617만×12×4.5%</t>
  </si>
  <si>
    <t>건강보험</t>
  </si>
  <si>
    <t>총급여×3.545%</t>
  </si>
  <si>
    <t>장기요양보험</t>
  </si>
  <si>
    <t>건보×12.95%</t>
  </si>
  <si>
    <t>고용보험</t>
  </si>
  <si>
    <t>총급여×0.9%</t>
  </si>
  <si>
    <t>총 공제액 합계</t>
  </si>
  <si>
    <t>연간 실수령액</t>
  </si>
  <si>
    <t>④ 실효세율 요약</t>
  </si>
  <si>
    <t>지 표</t>
  </si>
  <si>
    <t>병 훈</t>
  </si>
  <si>
    <t>아 름</t>
  </si>
  <si>
    <t>적용 세율 구간</t>
  </si>
  <si>
    <t>35%</t>
  </si>
  <si>
    <t>과표 8,800만~1.5억</t>
  </si>
  <si>
    <t>실효 소득세율</t>
  </si>
  <si>
    <t>21.4%</t>
  </si>
  <si>
    <t>18.2%</t>
  </si>
  <si>
    <t>소득세/총급여</t>
  </si>
  <si>
    <t>실효세율 (지방 포함)</t>
  </si>
  <si>
    <t>23.5%</t>
  </si>
  <si>
    <t>20.0%</t>
  </si>
  <si>
    <t>(소득세+지방세)/총급여</t>
  </si>
  <si>
    <t>총 공제율</t>
  </si>
  <si>
    <t>30.5%</t>
  </si>
  <si>
    <t>27.2%</t>
  </si>
  <si>
    <t>전체 공제/총급여</t>
  </si>
  <si>
    <t>⑤ 주의사항 및 추가 공제 가능 항목</t>
  </si>
  <si>
    <t xml:space="preserve">  • 본 계산서는 추정치이며 실제 연말정산 결과와 다를 수 있습니다.</t>
  </si>
  <si>
    <t xml:space="preserve">  • 연금저축·IRP 납입분 세액공제 미반영 → 납입 시 추가 절세 가능 (최대 148.5만원)</t>
  </si>
  <si>
    <t xml:space="preserve">  • 의료비·교육비·기부금 세액공제 미반영 → 실제 지출에 따라 환급 가능</t>
  </si>
  <si>
    <t xml:space="preserve">  • 주택청약저축·장기주택저당차입금 이자 공제 미반영</t>
  </si>
  <si>
    <t xml:space="preserve">  • 연금보조·의료비지원·복리후생 포인트 중 일부는 비과세 항목일 수 있음</t>
  </si>
  <si>
    <t xml:space="preserve">  • 건강보험료는 연말 보수월액 정산에 따라 실납부액이 달라질 수 있음</t>
  </si>
  <si>
    <t xml:space="preserve">  • 2026년 사대보험 요율은 2025년 기준 적용 (확정 후 재계산 권장)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</si>
</sst>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9EFF7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6B6B"/>
      </patternFill>
    </fill>
    <fill>
      <patternFill patternType="solid">
        <fgColor rgb="FF375623"/>
      </patternFill>
    </fill>
    <fill>
      <patternFill patternType="solid">
        <fgColor rgb="FF7B7B7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3" fontId="6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3" fontId="6" fillId="8" borderId="1" xfId="0" applyNumberFormat="1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3" fontId="4" fillId="9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3" fontId="5" fillId="10" borderId="1" xfId="0" applyNumberFormat="1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12" sqref="B12"/>
    </sheetView>
  </sheetViews>
  <sheetFormatPr defaultRowHeight="16.5" x14ac:dyDescent="0.3"/>
  <cols>
    <col min="1" max="1" width="26" customWidth="1"/>
    <col min="2" max="3" width="18" customWidth="1"/>
    <col min="4" max="5" width="16" customWidth="1"/>
  </cols>
  <sheetData>
    <row r="1" spans="1:5" ht="32.1" customHeight="1" x14ac:dyDescent="0.3">
      <c r="A1" s="28" t="s">
        <v>0</v>
      </c>
      <c r="B1" s="24"/>
      <c r="C1" s="24"/>
      <c r="D1" s="24"/>
      <c r="E1" s="24"/>
    </row>
    <row r="2" spans="1:5" ht="18" customHeight="1" x14ac:dyDescent="0.3">
      <c r="A2" s="26" t="s">
        <v>1</v>
      </c>
      <c r="B2" s="24"/>
      <c r="C2" s="24"/>
      <c r="D2" s="24"/>
      <c r="E2" s="24"/>
    </row>
    <row r="4" spans="1:5" ht="21.95" customHeight="1" x14ac:dyDescent="0.3">
      <c r="A4" s="25" t="s">
        <v>2</v>
      </c>
      <c r="B4" s="24"/>
      <c r="C4" s="24"/>
      <c r="D4" s="24"/>
      <c r="E4" s="24"/>
    </row>
    <row r="5" spans="1:5" ht="20.100000000000001" customHeight="1" x14ac:dyDescent="0.3">
      <c r="A5" s="30" t="s">
        <v>3</v>
      </c>
      <c r="B5" s="2" t="s">
        <v>4</v>
      </c>
      <c r="C5" s="3" t="s">
        <v>5</v>
      </c>
      <c r="D5" s="1" t="s">
        <v>6</v>
      </c>
    </row>
    <row r="6" spans="1:5" x14ac:dyDescent="0.3">
      <c r="A6" s="4" t="s">
        <v>7</v>
      </c>
      <c r="B6" s="5">
        <v>72277410</v>
      </c>
      <c r="C6" s="5">
        <v>68192370</v>
      </c>
      <c r="D6" s="6" t="s">
        <v>8</v>
      </c>
    </row>
    <row r="7" spans="1:5" x14ac:dyDescent="0.3">
      <c r="A7" s="7" t="s">
        <v>9</v>
      </c>
      <c r="B7" s="8">
        <v>6531720</v>
      </c>
      <c r="C7" s="8">
        <v>6162560</v>
      </c>
      <c r="D7" s="9" t="s">
        <v>8</v>
      </c>
    </row>
    <row r="8" spans="1:5" x14ac:dyDescent="0.3">
      <c r="A8" s="4" t="s">
        <v>10</v>
      </c>
      <c r="B8" s="5">
        <v>56020320</v>
      </c>
      <c r="C8" s="5">
        <v>50495424</v>
      </c>
      <c r="D8" s="6" t="s">
        <v>11</v>
      </c>
    </row>
    <row r="9" spans="1:5" x14ac:dyDescent="0.3">
      <c r="A9" s="7" t="s">
        <v>12</v>
      </c>
      <c r="B9" s="8">
        <v>13248264</v>
      </c>
      <c r="C9" s="8">
        <v>12631008</v>
      </c>
      <c r="D9" s="9" t="s">
        <v>11</v>
      </c>
    </row>
    <row r="10" spans="1:5" x14ac:dyDescent="0.3">
      <c r="A10" s="4" t="s">
        <v>13</v>
      </c>
      <c r="B10" s="5">
        <v>8022408</v>
      </c>
      <c r="C10" s="5">
        <v>5627712</v>
      </c>
      <c r="D10" s="6" t="s">
        <v>11</v>
      </c>
    </row>
    <row r="11" spans="1:5" x14ac:dyDescent="0.3">
      <c r="A11" s="7" t="s">
        <v>14</v>
      </c>
      <c r="B11" s="8">
        <v>960000</v>
      </c>
      <c r="C11" s="8">
        <v>0</v>
      </c>
      <c r="D11" s="9" t="s">
        <v>15</v>
      </c>
    </row>
    <row r="12" spans="1:5" x14ac:dyDescent="0.3">
      <c r="A12" s="4" t="s">
        <v>16</v>
      </c>
      <c r="B12" s="5">
        <v>5107896</v>
      </c>
      <c r="C12" s="5">
        <v>4013753</v>
      </c>
      <c r="D12" s="6" t="s">
        <v>11</v>
      </c>
    </row>
    <row r="13" spans="1:5" ht="21.95" customHeight="1" x14ac:dyDescent="0.3">
      <c r="A13" s="10" t="s">
        <v>17</v>
      </c>
      <c r="B13" s="11">
        <v>162168018</v>
      </c>
      <c r="C13" s="11">
        <v>147122827</v>
      </c>
      <c r="D13" s="12"/>
    </row>
    <row r="15" spans="1:5" ht="21.95" customHeight="1" x14ac:dyDescent="0.3">
      <c r="A15" s="25" t="s">
        <v>18</v>
      </c>
      <c r="B15" s="24"/>
      <c r="C15" s="24"/>
      <c r="D15" s="24"/>
      <c r="E15" s="24"/>
    </row>
    <row r="16" spans="1:5" ht="20.100000000000001" customHeight="1" x14ac:dyDescent="0.3">
      <c r="A16" s="1" t="s">
        <v>3</v>
      </c>
      <c r="B16" s="2" t="s">
        <v>4</v>
      </c>
      <c r="C16" s="3" t="s">
        <v>5</v>
      </c>
      <c r="D16" s="1" t="s">
        <v>6</v>
      </c>
    </row>
    <row r="17" spans="1:5" x14ac:dyDescent="0.3">
      <c r="A17" s="4" t="s">
        <v>19</v>
      </c>
      <c r="B17" s="5">
        <v>162168018</v>
      </c>
      <c r="C17" s="5">
        <v>147122827</v>
      </c>
      <c r="D17" s="6"/>
    </row>
    <row r="18" spans="1:5" ht="27" x14ac:dyDescent="0.3">
      <c r="A18" s="7" t="s">
        <v>20</v>
      </c>
      <c r="B18" s="8">
        <v>-15993360</v>
      </c>
      <c r="C18" s="8">
        <v>-15692457</v>
      </c>
      <c r="D18" s="9" t="s">
        <v>21</v>
      </c>
    </row>
    <row r="19" spans="1:5" x14ac:dyDescent="0.3">
      <c r="A19" s="10" t="e">
        <f>근로소득금액</f>
        <v>#NAME?</v>
      </c>
      <c r="B19" s="11">
        <v>146174658</v>
      </c>
      <c r="C19" s="11">
        <v>131430370</v>
      </c>
      <c r="D19" s="12"/>
    </row>
    <row r="20" spans="1:5" ht="27" x14ac:dyDescent="0.3">
      <c r="A20" s="7" t="s">
        <v>22</v>
      </c>
      <c r="B20" s="8">
        <v>-1500000</v>
      </c>
      <c r="C20" s="8">
        <v>-9500000</v>
      </c>
      <c r="D20" s="9" t="s">
        <v>23</v>
      </c>
    </row>
    <row r="21" spans="1:5" ht="27" x14ac:dyDescent="0.3">
      <c r="A21" s="10" t="e">
        <f>과세표준</f>
        <v>#NAME?</v>
      </c>
      <c r="B21" s="11">
        <v>144674658</v>
      </c>
      <c r="C21" s="11">
        <v>121930370</v>
      </c>
      <c r="D21" s="12" t="s">
        <v>24</v>
      </c>
    </row>
    <row r="22" spans="1:5" x14ac:dyDescent="0.3">
      <c r="A22" s="7" t="s">
        <v>25</v>
      </c>
      <c r="B22" s="8">
        <v>35196130</v>
      </c>
      <c r="C22" s="8">
        <v>27235630</v>
      </c>
      <c r="D22" s="9"/>
    </row>
    <row r="23" spans="1:5" ht="27" x14ac:dyDescent="0.3">
      <c r="A23" s="4" t="s">
        <v>26</v>
      </c>
      <c r="B23" s="5">
        <v>-500000</v>
      </c>
      <c r="C23" s="5">
        <v>-500000</v>
      </c>
      <c r="D23" s="6" t="s">
        <v>27</v>
      </c>
    </row>
    <row r="24" spans="1:5" x14ac:dyDescent="0.3">
      <c r="A24" s="10" t="e">
        <f>결정세액 (소득세)</f>
        <v>#NAME?</v>
      </c>
      <c r="B24" s="11">
        <v>34696130</v>
      </c>
      <c r="C24" s="11">
        <v>26735630</v>
      </c>
      <c r="D24" s="12"/>
    </row>
    <row r="25" spans="1:5" x14ac:dyDescent="0.3">
      <c r="A25" s="4" t="s">
        <v>28</v>
      </c>
      <c r="B25" s="5">
        <v>3469613</v>
      </c>
      <c r="C25" s="5">
        <v>2673563</v>
      </c>
      <c r="D25" s="6"/>
    </row>
    <row r="27" spans="1:5" ht="21.95" customHeight="1" x14ac:dyDescent="0.3">
      <c r="A27" s="25" t="s">
        <v>29</v>
      </c>
      <c r="B27" s="24"/>
      <c r="C27" s="24"/>
      <c r="D27" s="24"/>
      <c r="E27" s="24"/>
    </row>
    <row r="28" spans="1:5" ht="20.100000000000001" customHeight="1" x14ac:dyDescent="0.3">
      <c r="A28" s="1" t="s">
        <v>3</v>
      </c>
      <c r="B28" s="2" t="s">
        <v>4</v>
      </c>
      <c r="C28" s="3" t="s">
        <v>5</v>
      </c>
      <c r="D28" s="1" t="s">
        <v>6</v>
      </c>
    </row>
    <row r="29" spans="1:5" x14ac:dyDescent="0.3">
      <c r="A29" s="4" t="s">
        <v>30</v>
      </c>
      <c r="B29" s="5">
        <v>34696130</v>
      </c>
      <c r="C29" s="5">
        <v>26735630</v>
      </c>
      <c r="D29" s="6" t="s">
        <v>31</v>
      </c>
    </row>
    <row r="30" spans="1:5" x14ac:dyDescent="0.3">
      <c r="A30" s="7" t="s">
        <v>32</v>
      </c>
      <c r="B30" s="8">
        <v>3469613</v>
      </c>
      <c r="C30" s="8">
        <v>2673563</v>
      </c>
      <c r="D30" s="9" t="s">
        <v>33</v>
      </c>
    </row>
    <row r="31" spans="1:5" ht="27" x14ac:dyDescent="0.3">
      <c r="A31" s="4" t="s">
        <v>34</v>
      </c>
      <c r="B31" s="5">
        <v>3331800</v>
      </c>
      <c r="C31" s="5">
        <v>3331800</v>
      </c>
      <c r="D31" s="6" t="s">
        <v>35</v>
      </c>
    </row>
    <row r="32" spans="1:5" x14ac:dyDescent="0.3">
      <c r="A32" s="7" t="s">
        <v>36</v>
      </c>
      <c r="B32" s="8">
        <v>5748857</v>
      </c>
      <c r="C32" s="8">
        <v>5215505</v>
      </c>
      <c r="D32" s="9" t="s">
        <v>37</v>
      </c>
    </row>
    <row r="33" spans="1:5" x14ac:dyDescent="0.3">
      <c r="A33" s="4" t="s">
        <v>38</v>
      </c>
      <c r="B33" s="5">
        <v>744477</v>
      </c>
      <c r="C33" s="5">
        <v>675408</v>
      </c>
      <c r="D33" s="6" t="s">
        <v>39</v>
      </c>
    </row>
    <row r="34" spans="1:5" x14ac:dyDescent="0.3">
      <c r="A34" s="7" t="s">
        <v>40</v>
      </c>
      <c r="B34" s="8">
        <v>1459512</v>
      </c>
      <c r="C34" s="8">
        <v>1324106</v>
      </c>
      <c r="D34" s="9" t="s">
        <v>41</v>
      </c>
    </row>
    <row r="35" spans="1:5" ht="21.95" customHeight="1" x14ac:dyDescent="0.3">
      <c r="A35" s="13" t="s">
        <v>42</v>
      </c>
      <c r="B35" s="14">
        <v>49450389</v>
      </c>
      <c r="C35" s="14">
        <v>39956012</v>
      </c>
      <c r="D35" s="15"/>
    </row>
    <row r="36" spans="1:5" ht="21.95" customHeight="1" x14ac:dyDescent="0.3">
      <c r="A36" s="16" t="s">
        <v>43</v>
      </c>
      <c r="B36" s="17">
        <v>112717629</v>
      </c>
      <c r="C36" s="17">
        <v>107166815</v>
      </c>
      <c r="D36" s="18"/>
    </row>
    <row r="38" spans="1:5" ht="21.95" customHeight="1" x14ac:dyDescent="0.3">
      <c r="A38" s="25" t="s">
        <v>44</v>
      </c>
      <c r="B38" s="24"/>
      <c r="C38" s="24"/>
      <c r="D38" s="24"/>
      <c r="E38" s="24"/>
    </row>
    <row r="39" spans="1:5" ht="20.100000000000001" customHeight="1" x14ac:dyDescent="0.3">
      <c r="A39" s="1" t="s">
        <v>45</v>
      </c>
      <c r="B39" s="2" t="s">
        <v>46</v>
      </c>
      <c r="C39" s="3" t="s">
        <v>47</v>
      </c>
      <c r="D39" s="1" t="s">
        <v>6</v>
      </c>
    </row>
    <row r="40" spans="1:5" x14ac:dyDescent="0.3">
      <c r="A40" s="4" t="s">
        <v>48</v>
      </c>
      <c r="B40" s="6" t="s">
        <v>49</v>
      </c>
      <c r="C40" s="6" t="s">
        <v>49</v>
      </c>
      <c r="D40" s="6" t="s">
        <v>50</v>
      </c>
    </row>
    <row r="41" spans="1:5" x14ac:dyDescent="0.3">
      <c r="A41" s="7" t="s">
        <v>51</v>
      </c>
      <c r="B41" s="9" t="s">
        <v>52</v>
      </c>
      <c r="C41" s="9" t="s">
        <v>53</v>
      </c>
      <c r="D41" s="9" t="s">
        <v>54</v>
      </c>
    </row>
    <row r="42" spans="1:5" ht="27" x14ac:dyDescent="0.3">
      <c r="A42" s="19" t="s">
        <v>55</v>
      </c>
      <c r="B42" s="20" t="s">
        <v>56</v>
      </c>
      <c r="C42" s="20" t="s">
        <v>57</v>
      </c>
      <c r="D42" s="6" t="s">
        <v>58</v>
      </c>
    </row>
    <row r="43" spans="1:5" x14ac:dyDescent="0.3">
      <c r="A43" s="21" t="s">
        <v>59</v>
      </c>
      <c r="B43" s="22" t="s">
        <v>60</v>
      </c>
      <c r="C43" s="22" t="s">
        <v>61</v>
      </c>
      <c r="D43" s="9" t="s">
        <v>62</v>
      </c>
    </row>
    <row r="45" spans="1:5" ht="21.95" customHeight="1" x14ac:dyDescent="0.3">
      <c r="A45" s="29" t="s">
        <v>63</v>
      </c>
      <c r="B45" s="24"/>
      <c r="C45" s="24"/>
      <c r="D45" s="24"/>
      <c r="E45" s="24"/>
    </row>
    <row r="46" spans="1:5" ht="18" customHeight="1" x14ac:dyDescent="0.3">
      <c r="A46" s="23" t="s">
        <v>64</v>
      </c>
      <c r="B46" s="24"/>
      <c r="C46" s="24"/>
      <c r="D46" s="24"/>
      <c r="E46" s="24"/>
    </row>
    <row r="47" spans="1:5" ht="18" customHeight="1" x14ac:dyDescent="0.3">
      <c r="A47" s="27" t="s">
        <v>65</v>
      </c>
      <c r="B47" s="24"/>
      <c r="C47" s="24"/>
      <c r="D47" s="24"/>
      <c r="E47" s="24"/>
    </row>
    <row r="48" spans="1:5" ht="18" customHeight="1" x14ac:dyDescent="0.3">
      <c r="A48" s="23" t="s">
        <v>66</v>
      </c>
      <c r="B48" s="24"/>
      <c r="C48" s="24"/>
      <c r="D48" s="24"/>
      <c r="E48" s="24"/>
    </row>
    <row r="49" spans="1:5" ht="18" customHeight="1" x14ac:dyDescent="0.3">
      <c r="A49" s="27" t="s">
        <v>67</v>
      </c>
      <c r="B49" s="24"/>
      <c r="C49" s="24"/>
      <c r="D49" s="24"/>
      <c r="E49" s="24"/>
    </row>
    <row r="50" spans="1:5" ht="18" customHeight="1" x14ac:dyDescent="0.3">
      <c r="A50" s="23" t="s">
        <v>68</v>
      </c>
      <c r="B50" s="24"/>
      <c r="C50" s="24"/>
      <c r="D50" s="24"/>
      <c r="E50" s="24"/>
    </row>
    <row r="51" spans="1:5" ht="18" customHeight="1" x14ac:dyDescent="0.3">
      <c r="A51" s="27" t="s">
        <v>69</v>
      </c>
      <c r="B51" s="24"/>
      <c r="C51" s="24"/>
      <c r="D51" s="24"/>
      <c r="E51" s="24"/>
    </row>
    <row r="52" spans="1:5" ht="18" customHeight="1" x14ac:dyDescent="0.3">
      <c r="A52" s="23" t="s">
        <v>70</v>
      </c>
      <c r="B52" s="24"/>
      <c r="C52" s="24"/>
      <c r="D52" s="24"/>
      <c r="E52" s="24"/>
    </row>
  </sheetData>
  <mergeCells count="15">
    <mergeCell ref="A52:E52"/>
    <mergeCell ref="A49:E49"/>
    <mergeCell ref="A51:E51"/>
    <mergeCell ref="A47:E47"/>
    <mergeCell ref="A1:E1"/>
    <mergeCell ref="A45:E45"/>
    <mergeCell ref="A46:E46"/>
    <mergeCell ref="A5"/>
    <mergeCell ref="A27:E27"/>
    <mergeCell ref="A50:E50"/>
    <mergeCell ref="A4:E4"/>
    <mergeCell ref="A48:E48"/>
    <mergeCell ref="A38:E38"/>
    <mergeCell ref="A2:E2"/>
    <mergeCell ref="A15:E15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소득세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양병훈</cp:lastModifiedBy>
  <dcterms:created xsi:type="dcterms:W3CDTF">2026-05-21T00:11:07Z</dcterms:created>
  <dcterms:modified xsi:type="dcterms:W3CDTF">2026-05-21T00:12:20Z</dcterms:modified>
</cp:coreProperties>
</file>